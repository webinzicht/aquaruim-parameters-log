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0" documentId="13_ncr:1_{92E2A4FC-C48E-4C44-ADB1-7ADCC85B2459}" xr6:coauthVersionLast="47" xr6:coauthVersionMax="47" xr10:uidLastSave="{00000000-0000-0000-0000-000000000000}"/>
  <bookViews>
    <workbookView xWindow="-110" yWindow="-110" windowWidth="38620" windowHeight="21220" xr2:uid="{3AAF5D41-7676-49D2-9E7E-D1D699C89841}"/>
  </bookViews>
  <sheets>
    <sheet name="Water val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" i="1" l="1"/>
  <c r="T18" i="1"/>
  <c r="S19" i="1"/>
  <c r="S18" i="1"/>
  <c r="B19" i="1"/>
  <c r="R19" i="1"/>
  <c r="R18" i="1"/>
  <c r="N19" i="1"/>
  <c r="O19" i="1"/>
  <c r="P19" i="1"/>
  <c r="Q19" i="1"/>
  <c r="Q18" i="1"/>
  <c r="P18" i="1"/>
  <c r="O18" i="1"/>
  <c r="N18" i="1"/>
  <c r="M19" i="1"/>
  <c r="M18" i="1"/>
  <c r="J19" i="1"/>
  <c r="J18" i="1"/>
  <c r="I19" i="1"/>
  <c r="I18" i="1"/>
  <c r="B18" i="1"/>
  <c r="H19" i="1"/>
  <c r="H18" i="1"/>
  <c r="G18" i="1"/>
  <c r="G19" i="1"/>
  <c r="F19" i="1"/>
  <c r="F18" i="1"/>
</calcChain>
</file>

<file path=xl/sharedStrings.xml><?xml version="1.0" encoding="utf-8"?>
<sst xmlns="http://schemas.openxmlformats.org/spreadsheetml/2006/main" count="18" uniqueCount="18">
  <si>
    <t>NO3 - Nitrate</t>
  </si>
  <si>
    <t>NO2 - Nitrite</t>
  </si>
  <si>
    <t>GH -General Hardness</t>
  </si>
  <si>
    <t>KH - Carbonate Hardness</t>
  </si>
  <si>
    <t>PH - Power of Hydrogen</t>
  </si>
  <si>
    <t>Cl2 - Chlorine</t>
  </si>
  <si>
    <t>Last water change</t>
  </si>
  <si>
    <t>Aquarium (30L) started:</t>
  </si>
  <si>
    <t>* Snails in</t>
  </si>
  <si>
    <t xml:space="preserve"> - percentage (25L = 100%)</t>
  </si>
  <si>
    <t>* Fish in</t>
  </si>
  <si>
    <t>REMARKS (to test date)</t>
  </si>
  <si>
    <t>60 seconds waiting time for Tetra 6 in 1 strips</t>
  </si>
  <si>
    <t>Date</t>
  </si>
  <si>
    <t>TAPWATER VALUE</t>
  </si>
  <si>
    <t>Set second value to last date in row 21</t>
  </si>
  <si>
    <t>Set first value to own column letter</t>
  </si>
  <si>
    <t>To use these rows, copy/paste the formula from the previous cell and adjust linked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</si>
</sst>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1" xfId="0" applyFont="1" applyBorder="1" applyAlignment="1">
      <alignment horizontal="left" vertical="center" inden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indent="1"/>
    </xf>
    <xf numFmtId="14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indent="1"/>
    </xf>
    <xf numFmtId="0" fontId="0" fillId="5" borderId="1" xfId="0" applyFill="1" applyBorder="1" applyAlignment="1">
      <alignment horizontal="left" vertical="center"/>
    </xf>
    <xf numFmtId="14" fontId="3" fillId="6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indent="1"/>
    </xf>
    <xf numFmtId="9" fontId="3" fillId="5" borderId="1" xfId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2" xfId="0" applyFont="1" applyBorder="1" applyAlignment="1">
      <alignment horizontal="left" vertical="center" indent="1"/>
    </xf>
    <xf numFmtId="0" fontId="3" fillId="0" borderId="2" xfId="0" applyFont="1" applyBorder="1" applyAlignment="1">
      <alignment horizontal="center" vertical="center"/>
    </xf>
    <xf numFmtId="0" fontId="3" fillId="0" borderId="0" xfId="0" applyFont="1"/>
    <xf numFmtId="0" fontId="0" fillId="5" borderId="1" xfId="0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49" fontId="0" fillId="5" borderId="1" xfId="0" quotePrefix="1" applyNumberForma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indent="1"/>
    </xf>
    <xf numFmtId="0" fontId="2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2" fillId="8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6" fillId="6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 inden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2">
    <cellStyle name="Procent" xfId="1" builtinId="5"/>
    <cellStyle name="Standaard" xfId="0" builtinId="0"/>
  </cellStyles>
  <dxfs count="0"/>
  <tableStyles count="0" defaultTableStyle="TableStyleMedium2" defaultPivotStyle="PivotStyleLight16"/>
  <colors>
    <mruColors>
      <color rgb="FFB4B96F"/>
      <color rgb="FFFFABAB"/>
      <color rgb="FFFFE6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DBDF5-033D-489A-9627-258C777E5EAA}">
  <dimension ref="A1:Y48"/>
  <sheetViews>
    <sheetView tabSelected="1" workbookViewId="0">
      <selection activeCell="H29" sqref="H29"/>
    </sheetView>
  </sheetViews>
  <sheetFormatPr defaultRowHeight="14.5" x14ac:dyDescent="0.35"/>
  <cols>
    <col min="1" max="1" width="12.54296875" customWidth="1"/>
    <col min="2" max="2" width="35.7265625" customWidth="1"/>
    <col min="3" max="3" width="1.26953125" customWidth="1"/>
    <col min="4" max="4" width="12.1796875" customWidth="1"/>
    <col min="5" max="5" width="1.1796875" customWidth="1"/>
    <col min="6" max="25" width="10.6328125" style="1" customWidth="1"/>
    <col min="26" max="26" width="4.26953125" customWidth="1"/>
  </cols>
  <sheetData>
    <row r="1" spans="2:25" ht="18" customHeight="1" x14ac:dyDescent="0.35"/>
    <row r="2" spans="2:25" ht="25" customHeight="1" x14ac:dyDescent="0.35">
      <c r="B2" s="11" t="s">
        <v>7</v>
      </c>
      <c r="C2" s="32"/>
      <c r="D2" s="38"/>
      <c r="E2" s="32"/>
      <c r="F2" s="12">
        <v>45362</v>
      </c>
      <c r="G2" s="27" t="s">
        <v>8</v>
      </c>
      <c r="H2" s="28"/>
      <c r="I2" s="28"/>
      <c r="J2" s="29" t="s">
        <v>10</v>
      </c>
      <c r="K2" s="28"/>
      <c r="L2" s="28"/>
      <c r="M2" s="28"/>
      <c r="N2" s="28"/>
      <c r="O2" s="30"/>
      <c r="P2" s="28"/>
      <c r="Q2" s="30"/>
      <c r="R2" s="28"/>
      <c r="S2" s="28"/>
      <c r="T2" s="28"/>
      <c r="U2" s="28"/>
      <c r="V2" s="28"/>
      <c r="W2" s="28"/>
      <c r="X2" s="28"/>
      <c r="Y2" s="28"/>
    </row>
    <row r="3" spans="2:25" ht="17.5" customHeight="1" x14ac:dyDescent="0.35">
      <c r="B3" s="40" t="s">
        <v>12</v>
      </c>
      <c r="C3" s="9"/>
      <c r="D3" s="39" t="s">
        <v>14</v>
      </c>
      <c r="E3" s="33"/>
      <c r="F3" s="10">
        <v>1</v>
      </c>
      <c r="G3" s="10">
        <v>2</v>
      </c>
      <c r="H3" s="10">
        <v>3</v>
      </c>
      <c r="I3" s="10">
        <v>4</v>
      </c>
      <c r="J3" s="10">
        <v>5</v>
      </c>
      <c r="K3" s="10">
        <v>6</v>
      </c>
      <c r="L3" s="10">
        <v>7</v>
      </c>
      <c r="M3" s="10">
        <v>8</v>
      </c>
      <c r="N3" s="10">
        <v>9</v>
      </c>
      <c r="O3" s="10">
        <v>10</v>
      </c>
      <c r="P3" s="10">
        <v>11</v>
      </c>
      <c r="Q3" s="10">
        <v>12</v>
      </c>
      <c r="R3" s="10">
        <v>13</v>
      </c>
      <c r="S3" s="10">
        <v>14</v>
      </c>
      <c r="T3" s="10">
        <v>15</v>
      </c>
      <c r="U3" s="10">
        <v>16</v>
      </c>
      <c r="V3" s="10">
        <v>17</v>
      </c>
      <c r="W3" s="10">
        <v>18</v>
      </c>
      <c r="X3" s="10">
        <v>19</v>
      </c>
      <c r="Y3" s="10">
        <v>20</v>
      </c>
    </row>
    <row r="4" spans="2:25" s="3" customFormat="1" ht="25" customHeight="1" x14ac:dyDescent="0.35">
      <c r="B4" s="17" t="s">
        <v>13</v>
      </c>
      <c r="C4" s="37"/>
      <c r="D4" s="16">
        <v>45967</v>
      </c>
      <c r="E4" s="34"/>
      <c r="F4" s="5">
        <v>45365</v>
      </c>
      <c r="G4" s="5">
        <v>45369</v>
      </c>
      <c r="H4" s="5">
        <v>45379</v>
      </c>
      <c r="I4" s="5">
        <v>45385</v>
      </c>
      <c r="J4" s="5">
        <v>45392</v>
      </c>
      <c r="K4" s="5">
        <v>45425</v>
      </c>
      <c r="L4" s="5">
        <v>45501</v>
      </c>
      <c r="M4" s="5">
        <v>45525</v>
      </c>
      <c r="N4" s="5">
        <v>45591</v>
      </c>
      <c r="O4" s="5">
        <v>45619</v>
      </c>
      <c r="P4" s="5">
        <v>45687</v>
      </c>
      <c r="Q4" s="5">
        <v>45793</v>
      </c>
      <c r="R4" s="5">
        <v>45864</v>
      </c>
      <c r="S4" s="5">
        <v>45958</v>
      </c>
      <c r="T4" s="5">
        <v>45967</v>
      </c>
      <c r="U4" s="5"/>
      <c r="V4" s="5"/>
      <c r="W4" s="5"/>
      <c r="X4" s="5"/>
      <c r="Y4" s="5"/>
    </row>
    <row r="5" spans="2:25" x14ac:dyDescent="0.35">
      <c r="B5" s="7"/>
      <c r="C5" s="7"/>
      <c r="D5" s="31"/>
      <c r="E5" s="7"/>
    </row>
    <row r="6" spans="2:25" s="3" customFormat="1" ht="25" customHeight="1" x14ac:dyDescent="0.35">
      <c r="B6" s="8" t="s">
        <v>0</v>
      </c>
      <c r="C6" s="8"/>
      <c r="D6" s="4">
        <v>0</v>
      </c>
      <c r="E6" s="4"/>
      <c r="F6" s="4">
        <v>0</v>
      </c>
      <c r="G6" s="4">
        <v>0</v>
      </c>
      <c r="H6" s="4">
        <v>0</v>
      </c>
      <c r="I6" s="4">
        <v>10</v>
      </c>
      <c r="J6" s="4">
        <v>0</v>
      </c>
      <c r="K6" s="4">
        <v>0</v>
      </c>
      <c r="L6" s="4">
        <v>0</v>
      </c>
      <c r="M6" s="4">
        <v>0</v>
      </c>
      <c r="N6" s="4">
        <v>10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/>
      <c r="V6" s="4"/>
      <c r="W6" s="4"/>
      <c r="X6" s="4"/>
      <c r="Y6" s="4"/>
    </row>
    <row r="7" spans="2:25" x14ac:dyDescent="0.35">
      <c r="B7" s="7"/>
      <c r="C7" s="7"/>
      <c r="D7" s="31"/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2:25" s="3" customFormat="1" ht="25" customHeight="1" x14ac:dyDescent="0.35">
      <c r="B8" s="8" t="s">
        <v>1</v>
      </c>
      <c r="C8" s="8"/>
      <c r="D8" s="4">
        <v>0</v>
      </c>
      <c r="E8" s="4"/>
      <c r="F8" s="4">
        <v>1</v>
      </c>
      <c r="G8" s="4">
        <v>0</v>
      </c>
      <c r="H8" s="4">
        <v>1</v>
      </c>
      <c r="I8" s="4">
        <v>0</v>
      </c>
      <c r="J8" s="4">
        <v>0</v>
      </c>
      <c r="K8" s="4">
        <v>0</v>
      </c>
      <c r="L8" s="4">
        <v>0</v>
      </c>
      <c r="M8" s="4">
        <v>1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/>
      <c r="V8" s="4"/>
      <c r="W8" s="4"/>
      <c r="X8" s="4"/>
      <c r="Y8" s="4"/>
    </row>
    <row r="9" spans="2:25" x14ac:dyDescent="0.35">
      <c r="B9" s="7"/>
      <c r="C9" s="7"/>
      <c r="D9" s="31"/>
      <c r="E9" s="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2:25" s="3" customFormat="1" ht="25" customHeight="1" x14ac:dyDescent="0.35">
      <c r="B10" s="8" t="s">
        <v>2</v>
      </c>
      <c r="C10" s="8"/>
      <c r="D10" s="13">
        <v>8</v>
      </c>
      <c r="E10" s="13"/>
      <c r="F10" s="13">
        <v>8</v>
      </c>
      <c r="G10" s="13">
        <v>8</v>
      </c>
      <c r="H10" s="13">
        <v>8</v>
      </c>
      <c r="I10" s="13">
        <v>8</v>
      </c>
      <c r="J10" s="13">
        <v>8</v>
      </c>
      <c r="K10" s="13">
        <v>8</v>
      </c>
      <c r="L10" s="13">
        <v>8</v>
      </c>
      <c r="M10" s="13">
        <v>4</v>
      </c>
      <c r="N10" s="13">
        <v>8</v>
      </c>
      <c r="O10" s="13">
        <v>8</v>
      </c>
      <c r="P10" s="13">
        <v>8</v>
      </c>
      <c r="Q10" s="13">
        <v>16</v>
      </c>
      <c r="R10" s="13">
        <v>8</v>
      </c>
      <c r="S10" s="13">
        <v>8</v>
      </c>
      <c r="T10" s="13">
        <v>8</v>
      </c>
      <c r="U10" s="13"/>
      <c r="V10" s="13"/>
      <c r="W10" s="13"/>
      <c r="X10" s="13"/>
      <c r="Y10" s="13"/>
    </row>
    <row r="11" spans="2:25" x14ac:dyDescent="0.35">
      <c r="B11" s="7"/>
      <c r="C11" s="7"/>
      <c r="D11" s="31"/>
      <c r="E11" s="7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2:25" s="3" customFormat="1" ht="25" customHeight="1" x14ac:dyDescent="0.35">
      <c r="B12" s="8" t="s">
        <v>3</v>
      </c>
      <c r="C12" s="8"/>
      <c r="D12" s="13">
        <v>6</v>
      </c>
      <c r="E12" s="13"/>
      <c r="F12" s="13">
        <v>10</v>
      </c>
      <c r="G12" s="13">
        <v>6</v>
      </c>
      <c r="H12" s="13">
        <v>6</v>
      </c>
      <c r="I12" s="13">
        <v>3</v>
      </c>
      <c r="J12" s="13">
        <v>3</v>
      </c>
      <c r="K12" s="13">
        <v>6</v>
      </c>
      <c r="L12" s="13">
        <v>6</v>
      </c>
      <c r="M12" s="13">
        <v>7.2</v>
      </c>
      <c r="N12" s="13">
        <v>6</v>
      </c>
      <c r="O12" s="13">
        <v>6</v>
      </c>
      <c r="P12" s="13">
        <v>6</v>
      </c>
      <c r="Q12" s="13">
        <v>10</v>
      </c>
      <c r="R12" s="13">
        <v>15</v>
      </c>
      <c r="S12" s="13">
        <v>10</v>
      </c>
      <c r="T12" s="13">
        <v>10</v>
      </c>
      <c r="U12" s="13"/>
      <c r="V12" s="13"/>
      <c r="W12" s="13"/>
      <c r="X12" s="13"/>
      <c r="Y12" s="13"/>
    </row>
    <row r="13" spans="2:25" x14ac:dyDescent="0.35">
      <c r="B13" s="7"/>
      <c r="C13" s="7"/>
      <c r="D13" s="31"/>
      <c r="E13" s="7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2:25" s="3" customFormat="1" ht="25" customHeight="1" x14ac:dyDescent="0.35">
      <c r="B14" s="8" t="s">
        <v>4</v>
      </c>
      <c r="C14" s="8"/>
      <c r="D14" s="4">
        <v>8</v>
      </c>
      <c r="E14" s="8"/>
      <c r="F14" s="4">
        <v>7.6</v>
      </c>
      <c r="G14" s="4">
        <v>7.6</v>
      </c>
      <c r="H14" s="4">
        <v>7.6</v>
      </c>
      <c r="I14" s="4">
        <v>7.6</v>
      </c>
      <c r="J14" s="4">
        <v>7.6</v>
      </c>
      <c r="K14" s="4">
        <v>7.2</v>
      </c>
      <c r="L14" s="4">
        <v>7.6</v>
      </c>
      <c r="M14" s="4">
        <v>8</v>
      </c>
      <c r="N14" s="4">
        <v>7.6</v>
      </c>
      <c r="O14" s="4">
        <v>8</v>
      </c>
      <c r="P14" s="4">
        <v>8</v>
      </c>
      <c r="Q14" s="4">
        <v>8</v>
      </c>
      <c r="R14" s="4">
        <v>8.4</v>
      </c>
      <c r="S14" s="4">
        <v>8</v>
      </c>
      <c r="T14" s="4">
        <v>8</v>
      </c>
      <c r="U14" s="4"/>
      <c r="V14" s="4"/>
      <c r="W14" s="4"/>
      <c r="X14" s="4"/>
      <c r="Y14" s="4"/>
    </row>
    <row r="15" spans="2:25" x14ac:dyDescent="0.35">
      <c r="B15" s="7"/>
      <c r="C15" s="7"/>
      <c r="D15" s="31"/>
      <c r="E15" s="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2:25" s="3" customFormat="1" ht="25" customHeight="1" x14ac:dyDescent="0.35">
      <c r="B16" s="8" t="s">
        <v>5</v>
      </c>
      <c r="C16" s="8"/>
      <c r="D16" s="4">
        <v>0</v>
      </c>
      <c r="E16" s="8"/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/>
      <c r="V16" s="4"/>
      <c r="W16" s="4"/>
      <c r="X16" s="4"/>
      <c r="Y16" s="4"/>
    </row>
    <row r="17" spans="1:25" x14ac:dyDescent="0.35">
      <c r="B17" s="7"/>
      <c r="C17" s="7"/>
      <c r="D17" s="31"/>
      <c r="E17" s="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s="3" customFormat="1" ht="32" customHeight="1" x14ac:dyDescent="0.35">
      <c r="A18" s="44" t="s">
        <v>17</v>
      </c>
      <c r="B18" s="17" t="str">
        <f ca="1">"Days active (total: " &amp; TODAY() - F2 &amp; ")"</f>
        <v>Days active (total: 605)</v>
      </c>
      <c r="C18" s="8"/>
      <c r="D18" s="42" t="s">
        <v>16</v>
      </c>
      <c r="E18" s="8"/>
      <c r="F18" s="6">
        <f>_xlfn.DAYS(F4,F2)</f>
        <v>3</v>
      </c>
      <c r="G18" s="6">
        <f>_xlfn.DAYS(G4,F2)</f>
        <v>7</v>
      </c>
      <c r="H18" s="6">
        <f>_xlfn.DAYS(H4,F2)</f>
        <v>17</v>
      </c>
      <c r="I18" s="6">
        <f>_xlfn.DAYS(I4,F2)</f>
        <v>23</v>
      </c>
      <c r="J18" s="6">
        <f>_xlfn.DAYS(J4,F2)</f>
        <v>30</v>
      </c>
      <c r="K18" s="6">
        <v>63</v>
      </c>
      <c r="L18" s="6">
        <v>139</v>
      </c>
      <c r="M18" s="6">
        <f>_xlfn.DAYS(M4,F2)</f>
        <v>163</v>
      </c>
      <c r="N18" s="6">
        <f>_xlfn.DAYS(N4,F2)</f>
        <v>229</v>
      </c>
      <c r="O18" s="6">
        <f>_xlfn.DAYS(O4,F2)</f>
        <v>257</v>
      </c>
      <c r="P18" s="6">
        <f>_xlfn.DAYS(P4,F2)</f>
        <v>325</v>
      </c>
      <c r="Q18" s="6">
        <f>_xlfn.DAYS(Q4,F2)</f>
        <v>431</v>
      </c>
      <c r="R18" s="6">
        <f>_xlfn.DAYS(R4,F2)</f>
        <v>502</v>
      </c>
      <c r="S18" s="6">
        <f>_xlfn.DAYS(S4,F2)</f>
        <v>596</v>
      </c>
      <c r="T18" s="6">
        <f>_xlfn.DAYS(T4,F2)</f>
        <v>605</v>
      </c>
      <c r="U18" s="6"/>
      <c r="V18" s="6"/>
      <c r="W18" s="6"/>
      <c r="X18" s="6"/>
      <c r="Y18" s="6"/>
    </row>
    <row r="19" spans="1:25" s="3" customFormat="1" ht="33" customHeight="1" x14ac:dyDescent="0.35">
      <c r="A19" s="45"/>
      <c r="B19" s="14" t="str">
        <f ca="1">"Days without waterchange (now: " &amp; TODAY() - R21 &amp; ")"</f>
        <v>Days without waterchange (now: 103)</v>
      </c>
      <c r="C19" s="8"/>
      <c r="D19" s="41" t="s">
        <v>15</v>
      </c>
      <c r="E19" s="8"/>
      <c r="F19" s="25">
        <f>_xlfn.DAYS(F4, F21)</f>
        <v>3</v>
      </c>
      <c r="G19" s="25">
        <f>_xlfn.DAYS(G4,G21)</f>
        <v>3</v>
      </c>
      <c r="H19" s="25">
        <f>_xlfn.DAYS(H4,G21)</f>
        <v>13</v>
      </c>
      <c r="I19" s="25">
        <f>_xlfn.DAYS(I4,G21)</f>
        <v>19</v>
      </c>
      <c r="J19" s="25">
        <f>_xlfn.DAYS(J4,G21)</f>
        <v>26</v>
      </c>
      <c r="K19" s="25">
        <v>24</v>
      </c>
      <c r="L19" s="25">
        <v>50</v>
      </c>
      <c r="M19" s="25">
        <f>_xlfn.DAYS(M4,L21)</f>
        <v>24</v>
      </c>
      <c r="N19" s="25">
        <f>_xlfn.DAYS(N4,L21)</f>
        <v>90</v>
      </c>
      <c r="O19" s="25">
        <f>_xlfn.DAYS(O4,N21)</f>
        <v>28</v>
      </c>
      <c r="P19" s="25">
        <f>_xlfn.DAYS(P4,N21)</f>
        <v>96</v>
      </c>
      <c r="Q19" s="25">
        <f>_xlfn.DAYS(Q4,P21)</f>
        <v>106</v>
      </c>
      <c r="R19" s="25">
        <f>_xlfn.DAYS(R4,P21)</f>
        <v>177</v>
      </c>
      <c r="S19" s="25">
        <f>_xlfn.DAYS(S4,R21)</f>
        <v>94</v>
      </c>
      <c r="T19" s="25">
        <f>_xlfn.DAYS(T4,R21)</f>
        <v>103</v>
      </c>
      <c r="U19" s="25"/>
      <c r="V19" s="25"/>
      <c r="W19" s="25"/>
      <c r="X19" s="25"/>
      <c r="Y19" s="25"/>
    </row>
    <row r="20" spans="1:25" s="3" customFormat="1" ht="11" customHeight="1" x14ac:dyDescent="0.35">
      <c r="B20" s="20"/>
      <c r="C20" s="20"/>
      <c r="D20" s="20"/>
      <c r="E20" s="20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</row>
    <row r="21" spans="1:25" ht="24.5" customHeight="1" x14ac:dyDescent="0.35">
      <c r="B21" s="14" t="s">
        <v>6</v>
      </c>
      <c r="C21" s="8"/>
      <c r="D21" s="14"/>
      <c r="E21" s="8"/>
      <c r="F21" s="16">
        <v>45362</v>
      </c>
      <c r="G21" s="16">
        <v>45366</v>
      </c>
      <c r="H21" s="16">
        <v>45401</v>
      </c>
      <c r="I21" s="16">
        <v>45451</v>
      </c>
      <c r="J21" s="16"/>
      <c r="K21" s="16"/>
      <c r="L21" s="16">
        <v>45501</v>
      </c>
      <c r="M21" s="16"/>
      <c r="N21" s="16">
        <v>45591</v>
      </c>
      <c r="O21" s="16"/>
      <c r="P21" s="16">
        <v>45687</v>
      </c>
      <c r="Q21" s="16"/>
      <c r="R21" s="16">
        <v>45864</v>
      </c>
      <c r="S21" s="16"/>
      <c r="T21" s="16"/>
      <c r="U21" s="16"/>
      <c r="V21" s="16"/>
      <c r="W21" s="16"/>
      <c r="X21" s="16"/>
      <c r="Y21" s="16"/>
    </row>
    <row r="22" spans="1:25" ht="27.5" customHeight="1" x14ac:dyDescent="0.35">
      <c r="B22" s="15" t="s">
        <v>9</v>
      </c>
      <c r="C22" s="35"/>
      <c r="D22" s="15"/>
      <c r="E22" s="35"/>
      <c r="F22" s="18">
        <v>1</v>
      </c>
      <c r="G22" s="18">
        <v>0.3</v>
      </c>
      <c r="H22" s="18">
        <v>0.8</v>
      </c>
      <c r="I22" s="18">
        <v>0.7</v>
      </c>
      <c r="J22" s="18"/>
      <c r="K22" s="18"/>
      <c r="L22" s="18">
        <v>0.8</v>
      </c>
      <c r="M22" s="18"/>
      <c r="N22" s="18">
        <v>0.8</v>
      </c>
      <c r="O22" s="18"/>
      <c r="P22" s="18">
        <v>0.25</v>
      </c>
      <c r="Q22" s="18"/>
      <c r="R22" s="18">
        <v>0.3</v>
      </c>
      <c r="S22" s="18"/>
      <c r="T22" s="18"/>
      <c r="U22" s="18"/>
      <c r="V22" s="18"/>
      <c r="W22" s="18"/>
      <c r="X22" s="18"/>
      <c r="Y22" s="18"/>
    </row>
    <row r="24" spans="1:25" ht="137" customHeight="1" x14ac:dyDescent="0.35">
      <c r="B24" s="43" t="s">
        <v>11</v>
      </c>
      <c r="C24" s="36"/>
      <c r="D24" s="24"/>
      <c r="E24" s="36"/>
      <c r="F24" s="23"/>
      <c r="G24" s="23"/>
      <c r="H24" s="23"/>
      <c r="I24" s="23"/>
      <c r="J24" s="23"/>
      <c r="K24" s="23"/>
      <c r="L24" s="23"/>
      <c r="M24" s="23"/>
      <c r="N24" s="23"/>
      <c r="O24" s="26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 spans="1:25" x14ac:dyDescent="0.35">
      <c r="B25" s="22"/>
      <c r="C25" s="22"/>
      <c r="D25" s="22"/>
      <c r="E25" s="22"/>
    </row>
    <row r="26" spans="1:25" x14ac:dyDescent="0.35">
      <c r="F26" s="19"/>
    </row>
    <row r="29" spans="1:25" x14ac:dyDescent="0.35">
      <c r="B29" s="22"/>
      <c r="C29" s="22"/>
      <c r="D29" s="22"/>
      <c r="E29" s="22"/>
    </row>
    <row r="31" spans="1:25" ht="48.5" customHeight="1" x14ac:dyDescent="0.35"/>
    <row r="32" spans="1:25" ht="47.5" customHeight="1" x14ac:dyDescent="0.35"/>
    <row r="33" ht="38.5" customHeight="1" x14ac:dyDescent="0.35"/>
    <row r="34" ht="46.5" customHeight="1" x14ac:dyDescent="0.35"/>
    <row r="35" ht="45" customHeight="1" x14ac:dyDescent="0.35"/>
    <row r="36" ht="38.5" customHeight="1" x14ac:dyDescent="0.35"/>
    <row r="37" ht="39.5" customHeight="1" x14ac:dyDescent="0.35"/>
    <row r="38" ht="44" customHeight="1" x14ac:dyDescent="0.35"/>
    <row r="39" ht="44" customHeight="1" x14ac:dyDescent="0.35"/>
    <row r="40" ht="44" customHeight="1" x14ac:dyDescent="0.35"/>
    <row r="41" ht="38" customHeight="1" x14ac:dyDescent="0.35"/>
    <row r="42" ht="18" customHeight="1" x14ac:dyDescent="0.35"/>
    <row r="45" ht="53" customHeight="1" x14ac:dyDescent="0.35"/>
    <row r="46" ht="41.5" customHeight="1" x14ac:dyDescent="0.35"/>
    <row r="47" ht="44.5" customHeight="1" x14ac:dyDescent="0.35"/>
    <row r="48" ht="54.5" customHeight="1" x14ac:dyDescent="0.35"/>
  </sheetData>
  <mergeCells count="1">
    <mergeCell ref="A18:A19"/>
  </mergeCells>
  <conditionalFormatting sqref="D14">
    <cfRule type="colorScale" priority="4">
      <colorScale>
        <cfvo type="num" val="6.4"/>
        <cfvo type="num" val="7"/>
        <cfvo type="num" val="8.4"/>
        <color rgb="FFFFC000"/>
        <color theme="0"/>
        <color theme="8" tint="0.39997558519241921"/>
      </colorScale>
    </cfRule>
  </conditionalFormatting>
  <conditionalFormatting sqref="D16">
    <cfRule type="colorScale" priority="2">
      <colorScale>
        <cfvo type="num" val="0"/>
        <cfvo type="num" val="&quot;0.8&quot;"/>
        <cfvo type="num" val="3"/>
        <color theme="0"/>
        <color rgb="FFFFEB84"/>
        <color rgb="FFFFC000"/>
      </colorScale>
    </cfRule>
  </conditionalFormatting>
  <conditionalFormatting sqref="D6:Y6">
    <cfRule type="iconSet" priority="10">
      <iconSet iconSet="3Symbols" reverse="1">
        <cfvo type="percent" val="0"/>
        <cfvo type="num" val="25"/>
        <cfvo type="num" val="100"/>
      </iconSet>
    </cfRule>
    <cfRule type="colorScale" priority="17">
      <colorScale>
        <cfvo type="num" val="0"/>
        <cfvo type="num" val="100"/>
        <cfvo type="num" val="250"/>
        <color theme="0"/>
        <color rgb="FFFFABAB"/>
        <color rgb="FFFF0000"/>
      </colorScale>
    </cfRule>
  </conditionalFormatting>
  <conditionalFormatting sqref="D8:Y8">
    <cfRule type="iconSet" priority="9">
      <iconSet iconSet="3Symbols" reverse="1">
        <cfvo type="percent" val="0"/>
        <cfvo type="num" val="1"/>
        <cfvo type="num" val="1" gte="0"/>
      </iconSet>
    </cfRule>
    <cfRule type="colorScale" priority="15">
      <colorScale>
        <cfvo type="num" val="0"/>
        <cfvo type="num" val="10"/>
        <color theme="0"/>
        <color rgb="FFFFABAB"/>
      </colorScale>
    </cfRule>
  </conditionalFormatting>
  <conditionalFormatting sqref="D10:Y10">
    <cfRule type="colorScale" priority="11">
      <colorScale>
        <cfvo type="num" val="0"/>
        <cfvo type="num" val="16"/>
        <color theme="2" tint="-0.749992370372631"/>
        <color theme="5" tint="-0.249977111117893"/>
      </colorScale>
    </cfRule>
  </conditionalFormatting>
  <conditionalFormatting sqref="D12:Y12">
    <cfRule type="colorScale" priority="12">
      <colorScale>
        <cfvo type="num" val="0"/>
        <cfvo type="num" val="20"/>
        <color rgb="FFB4B96F"/>
        <color theme="2" tint="-0.499984740745262"/>
      </colorScale>
    </cfRule>
  </conditionalFormatting>
  <conditionalFormatting sqref="F14:Y14">
    <cfRule type="colorScale" priority="13">
      <colorScale>
        <cfvo type="num" val="6.4"/>
        <cfvo type="num" val="7"/>
        <cfvo type="num" val="8.4"/>
        <color rgb="FFFFC000"/>
        <color theme="0"/>
        <color theme="8" tint="0.39997558519241921"/>
      </colorScale>
    </cfRule>
  </conditionalFormatting>
  <conditionalFormatting sqref="F16:Y16">
    <cfRule type="colorScale" priority="14">
      <colorScale>
        <cfvo type="num" val="0"/>
        <cfvo type="num" val="&quot;0.8&quot;"/>
        <cfvo type="num" val="3"/>
        <color theme="0"/>
        <color rgb="FFFFEB84"/>
        <color rgb="FFFFC000"/>
      </colorScale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3F1B5FAD-6016-44DD-966A-5935A8DD3DC3}">
            <x14:iconSet custom="1">
              <x14:cfvo type="percent">
                <xm:f>0</xm:f>
              </x14:cfvo>
              <x14:cfvo type="num" gte="0">
                <xm:f>6.8</xm:f>
              </x14:cfvo>
              <x14:cfvo type="num" gte="0">
                <xm:f>8.4</xm:f>
              </x14:cfvo>
              <x14:cfIcon iconSet="3Symbols" iconId="0"/>
              <x14:cfIcon iconSet="3Symbols" iconId="2"/>
              <x14:cfIcon iconSet="3Symbols" iconId="0"/>
            </x14:iconSet>
          </x14:cfRule>
          <xm:sqref>D14</xm:sqref>
        </x14:conditionalFormatting>
        <x14:conditionalFormatting xmlns:xm="http://schemas.microsoft.com/office/excel/2006/main">
          <x14:cfRule type="iconSet" priority="1" id="{5FAE9127-1D97-4E7D-A24B-A66A19214DEC}">
            <x14:iconSet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Symbols" iconId="2"/>
              <x14:cfIcon iconSet="NoIcons" iconId="0"/>
              <x14:cfIcon iconSet="3Symbols" iconId="0"/>
            </x14:iconSet>
          </x14:cfRule>
          <xm:sqref>D16</xm:sqref>
        </x14:conditionalFormatting>
        <x14:conditionalFormatting xmlns:xm="http://schemas.microsoft.com/office/excel/2006/main">
          <x14:cfRule type="iconSet" priority="8" id="{7DBA455C-D22D-4B2B-A53B-F251AF35AF9A}">
            <x14:iconSet iconSet="3Symbols" custom="1">
              <x14:cfvo type="percent">
                <xm:f>0</xm:f>
              </x14:cfvo>
              <x14:cfvo type="num" gte="0">
                <xm:f>4</xm:f>
              </x14:cfvo>
              <x14:cfvo type="num">
                <xm:f>4</xm:f>
              </x14:cfvo>
              <x14:cfIcon iconSet="3Symbols" iconId="0"/>
              <x14:cfIcon iconSet="NoIcons" iconId="0"/>
              <x14:cfIcon iconSet="3Symbols" iconId="2"/>
            </x14:iconSet>
          </x14:cfRule>
          <xm:sqref>D10:Y10</xm:sqref>
        </x14:conditionalFormatting>
        <x14:conditionalFormatting xmlns:xm="http://schemas.microsoft.com/office/excel/2006/main">
          <x14:cfRule type="iconSet" priority="7" id="{B969F8CC-10AE-49ED-B70F-DFA126BCE90F}">
            <x14:iconSet custom="1">
              <x14:cfvo type="percent">
                <xm:f>0</xm:f>
              </x14:cfvo>
              <x14:cfvo type="num" gte="0">
                <xm:f>3</xm:f>
              </x14:cfvo>
              <x14:cfvo type="num" gte="0">
                <xm:f>10</xm:f>
              </x14:cfvo>
              <x14:cfIcon iconSet="3Symbols" iconId="0"/>
              <x14:cfIcon iconSet="3Symbols" iconId="2"/>
              <x14:cfIcon iconSet="3Symbols" iconId="0"/>
            </x14:iconSet>
          </x14:cfRule>
          <xm:sqref>D12:Y12</xm:sqref>
        </x14:conditionalFormatting>
        <x14:conditionalFormatting xmlns:xm="http://schemas.microsoft.com/office/excel/2006/main">
          <x14:cfRule type="iconSet" priority="6" id="{37B8DDE0-A7CF-45D1-8B0A-F7348CAD97A5}">
            <x14:iconSet custom="1">
              <x14:cfvo type="percent">
                <xm:f>0</xm:f>
              </x14:cfvo>
              <x14:cfvo type="num" gte="0">
                <xm:f>6.8</xm:f>
              </x14:cfvo>
              <x14:cfvo type="num" gte="0">
                <xm:f>8.4</xm:f>
              </x14:cfvo>
              <x14:cfIcon iconSet="3Symbols" iconId="0"/>
              <x14:cfIcon iconSet="3Symbols" iconId="2"/>
              <x14:cfIcon iconSet="3Symbols" iconId="0"/>
            </x14:iconSet>
          </x14:cfRule>
          <xm:sqref>F14:Y14</xm:sqref>
        </x14:conditionalFormatting>
        <x14:conditionalFormatting xmlns:xm="http://schemas.microsoft.com/office/excel/2006/main">
          <x14:cfRule type="iconSet" priority="5" id="{D9DD0F94-627B-4207-B80A-981C41F45887}">
            <x14:iconSet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Symbols" iconId="2"/>
              <x14:cfIcon iconSet="NoIcons" iconId="0"/>
              <x14:cfIcon iconSet="3Symbols" iconId="0"/>
            </x14:iconSet>
          </x14:cfRule>
          <xm:sqref>F16:Y16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Water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2025-11-06T19:41:05Z</dcterms:created>
  <dcterms:modified xsi:type="dcterms:W3CDTF">2025-11-06T19:58:11Z</dcterms:modified>
</cp:coreProperties>
</file>